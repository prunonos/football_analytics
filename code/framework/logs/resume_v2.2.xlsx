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B3FE456A-69A9-47E4-AA1E-A598EB6B7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" sheetId="1" r:id="rId1"/>
  </sheets>
  <definedNames>
    <definedName name="_xlnm._FilterDatabase" localSheetId="0" hidden="1">Resume!$A$1:$BB$17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P17" i="1"/>
</calcChain>
</file>

<file path=xl/sharedStrings.xml><?xml version="1.0" encoding="utf-8"?>
<sst xmlns="http://schemas.openxmlformats.org/spreadsheetml/2006/main" count="95" uniqueCount="95">
  <si>
    <t>validation</t>
  </si>
  <si>
    <t>abs_test</t>
  </si>
  <si>
    <t>RPS</t>
  </si>
  <si>
    <t>rel_test</t>
  </si>
  <si>
    <t>recall_draw</t>
  </si>
  <si>
    <t>recall_home</t>
  </si>
  <si>
    <t>recall_away</t>
  </si>
  <si>
    <t>precision_home</t>
  </si>
  <si>
    <t>precision_away</t>
  </si>
  <si>
    <t>precision_draw</t>
  </si>
  <si>
    <t>F1_draw</t>
  </si>
  <si>
    <t>F1_home</t>
  </si>
  <si>
    <t>F1_away</t>
  </si>
  <si>
    <t>acc_D1</t>
  </si>
  <si>
    <t>acc_E0</t>
  </si>
  <si>
    <t>acc_F1</t>
  </si>
  <si>
    <t>acc_I1</t>
  </si>
  <si>
    <t>acc_SP1</t>
  </si>
  <si>
    <t>acc_SP2</t>
  </si>
  <si>
    <t>acc_T19-20</t>
  </si>
  <si>
    <t>acc_T20-21</t>
  </si>
  <si>
    <t>rps_D1</t>
  </si>
  <si>
    <t>rps_E0</t>
  </si>
  <si>
    <t>rps_F1</t>
  </si>
  <si>
    <t>rps_I1</t>
  </si>
  <si>
    <t>rps_SP1</t>
  </si>
  <si>
    <t>rps_SP2</t>
  </si>
  <si>
    <t>rps_T19-20</t>
  </si>
  <si>
    <t>rps_T20-21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</si>
  <si>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</si>
  <si>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</si>
  <si>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</si>
  <si>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</si>
  <si>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</si>
  <si>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</si>
  <si>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</si>
  <si>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</si>
  <si>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</si>
  <si>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</si>
  <si>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acc_11</t>
  </si>
  <si>
    <t>acc_12</t>
  </si>
  <si>
    <t>rps_1</t>
  </si>
  <si>
    <t>rps_2</t>
  </si>
  <si>
    <t>rps_3</t>
  </si>
  <si>
    <t>rps_4</t>
  </si>
  <si>
    <t>rps_5</t>
  </si>
  <si>
    <t>rps_6</t>
  </si>
  <si>
    <t>rps_7</t>
  </si>
  <si>
    <t>rps_8</t>
  </si>
  <si>
    <t>rps_9</t>
  </si>
  <si>
    <t>rps_10</t>
  </si>
  <si>
    <t>rps_11</t>
  </si>
  <si>
    <t>rps_12</t>
  </si>
  <si>
    <t>own_original_simp_fac_ss</t>
  </si>
  <si>
    <t>own_original_comp_fac_ss</t>
  </si>
  <si>
    <t>tabnet_own_simp_ss_sup</t>
  </si>
  <si>
    <t>own_top1_adv_comp_fac_ss_miv2</t>
  </si>
  <si>
    <t>tabnet_own_simp_ss_unsup</t>
  </si>
  <si>
    <t>own_top1_comp_fac_ss</t>
  </si>
  <si>
    <t>tabnet_own_comp_rs_unsup</t>
  </si>
  <si>
    <t>tabnet_own_comp_ss_sup</t>
  </si>
  <si>
    <t>own_top1_adv_comp_fac_ss</t>
  </si>
  <si>
    <t>tabnet_owntop1_adv_comp_ss_sup</t>
  </si>
  <si>
    <t>tabnet_owntop1_comp_ss_sup</t>
  </si>
  <si>
    <t>lgbm_top1_rs</t>
  </si>
  <si>
    <t>lgbm_top1_ss</t>
  </si>
  <si>
    <t>tabnet_paper_ss_unsup</t>
  </si>
  <si>
    <t>own_original_comp_bal_fac_ss</t>
  </si>
  <si>
    <t>EXPERIMENTS</t>
  </si>
  <si>
    <t>SOTA 2</t>
  </si>
  <si>
    <t>SOTA 1 (no fiable)</t>
  </si>
  <si>
    <t>el sota 1 no me creo los resultados nada</t>
  </si>
  <si>
    <t>own: multi-layer perceptron</t>
  </si>
  <si>
    <r>
      <t xml:space="preserve">modelos: </t>
    </r>
    <r>
      <rPr>
        <b/>
        <i/>
        <sz val="11"/>
        <color theme="1"/>
        <rFont val="Calibri"/>
        <family val="2"/>
        <scheme val="minor"/>
      </rPr>
      <t>own, tabnet, lgbm</t>
    </r>
  </si>
  <si>
    <t>lgbm: son los experimentos del paper (SOTA 1)</t>
  </si>
  <si>
    <t>paper: experimentos replicando paper (SOTA 2)</t>
  </si>
  <si>
    <t>original: experimentos del TFG</t>
  </si>
  <si>
    <t>tabnet_own: features del TFG en tabnet</t>
  </si>
  <si>
    <t>top1: replicacion de features de SOTA 2 en mis experimentos (pagerank, pi-ratings…)</t>
  </si>
  <si>
    <t>owntop1: top1 pero en el Tabnet</t>
  </si>
  <si>
    <t>Features</t>
  </si>
  <si>
    <t>simp: lags de eventos simples (goles y goles rival, puntos…)</t>
  </si>
  <si>
    <t>comp: lags de corners, faltas, amarillas…</t>
  </si>
  <si>
    <t>adv: top1 con lags (en pagerank), minor updates en match_importance y nuevsa features (weekday), etc.</t>
  </si>
  <si>
    <t>fac: usamos Factor para asignar pesos a los labels en base al resultado (del TFG)</t>
  </si>
  <si>
    <t>bal: balanceamos las 3 clases en el dataset (#home = #draws = #away)</t>
  </si>
  <si>
    <t>Sampling:</t>
  </si>
  <si>
    <t>ss: sequential, se entrena por orden cronologico</t>
  </si>
  <si>
    <t>rs: random, se entrena por orden aleatorio</t>
  </si>
  <si>
    <t>Supervised Learning en TabNet:</t>
  </si>
  <si>
    <t>sup: se usa unsupervised learning</t>
  </si>
  <si>
    <t>unsup: no se usa unsupervised learning</t>
  </si>
  <si>
    <t>(lo sé, no es muy intuitivo este)</t>
  </si>
  <si>
    <t>otras etiquetas:</t>
  </si>
  <si>
    <t>LEYENDA (nombre experimentos):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</si>
</sst>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6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6"/>
  <sheetViews>
    <sheetView tabSelected="1" zoomScale="159" workbookViewId="0">
      <pane xSplit="1" topLeftCell="B1" activePane="topRight" state="frozen"/>
      <selection pane="topRight" activeCell="A2" sqref="A2"/>
    </sheetView>
  </sheetViews>
  <sheetFormatPr baseColWidth="10" defaultColWidth="8.85546875" defaultRowHeight="15" x14ac:dyDescent="0.25"/>
  <cols>
    <col min="1" max="1" width="36.5703125" customWidth="1"/>
  </cols>
  <sheetData>
    <row r="1" spans="1:54" x14ac:dyDescent="0.25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25">
      <c r="A2" s="1" t="s">
        <v>53</v>
      </c>
      <c r="B2">
        <v>0.53320000000000001</v>
      </c>
      <c r="C2">
        <v>0.50319999999999998</v>
      </c>
      <c r="D2">
        <v>0.1925</v>
      </c>
      <c r="E2">
        <v>0.49619999999999997</v>
      </c>
      <c r="F2">
        <v>0</v>
      </c>
      <c r="G2">
        <v>0.85099999999999998</v>
      </c>
      <c r="H2">
        <v>0.47520000000000001</v>
      </c>
      <c r="I2">
        <v>0.49159999999999998</v>
      </c>
      <c r="J2">
        <v>0.53320000000000001</v>
      </c>
      <c r="M2">
        <v>0.62319999999999998</v>
      </c>
      <c r="N2">
        <v>0.50260000000000005</v>
      </c>
      <c r="O2">
        <v>0.51670000000000005</v>
      </c>
      <c r="P2">
        <v>0.49320000000000003</v>
      </c>
      <c r="Q2">
        <v>0.48299999999999998</v>
      </c>
      <c r="R2">
        <v>0.55840000000000001</v>
      </c>
      <c r="S2">
        <v>0.52310000000000001</v>
      </c>
      <c r="T2">
        <v>0.44640000000000002</v>
      </c>
      <c r="U2">
        <v>0.51819999999999999</v>
      </c>
      <c r="V2">
        <v>0.49540000000000001</v>
      </c>
      <c r="W2">
        <v>0.1847</v>
      </c>
      <c r="X2">
        <v>0.19650000000000001</v>
      </c>
      <c r="Y2">
        <v>0.2019</v>
      </c>
      <c r="Z2">
        <v>0.1825</v>
      </c>
      <c r="AA2">
        <v>0.188</v>
      </c>
      <c r="AB2">
        <v>0.20169999999999999</v>
      </c>
      <c r="AC2">
        <v>0.18840000000000001</v>
      </c>
      <c r="AD2">
        <v>0.19470000000000001</v>
      </c>
      <c r="AE2">
        <v>0.50580000000000003</v>
      </c>
      <c r="AF2">
        <v>0.50570000000000004</v>
      </c>
      <c r="AG2">
        <v>0.5141</v>
      </c>
      <c r="AH2">
        <v>0.48459999999999998</v>
      </c>
      <c r="AI2">
        <v>0.52429999999999999</v>
      </c>
      <c r="AJ2">
        <v>0.4919</v>
      </c>
      <c r="AK2">
        <v>0.55840000000000001</v>
      </c>
      <c r="AL2">
        <v>0.4</v>
      </c>
      <c r="AM2">
        <v>0.46150000000000002</v>
      </c>
      <c r="AN2">
        <v>0.51690000000000003</v>
      </c>
      <c r="AO2">
        <v>0.40510000000000002</v>
      </c>
      <c r="AP2">
        <v>0.49180000000000001</v>
      </c>
      <c r="AQ2">
        <v>0.18990000000000001</v>
      </c>
      <c r="AR2">
        <v>0.1875</v>
      </c>
      <c r="AS2">
        <v>0.19470000000000001</v>
      </c>
      <c r="AT2">
        <v>0.19400000000000001</v>
      </c>
      <c r="AU2">
        <v>0.18690000000000001</v>
      </c>
      <c r="AV2">
        <v>0.1973</v>
      </c>
      <c r="AW2">
        <v>0.18049999999999999</v>
      </c>
      <c r="AX2">
        <v>0.2326</v>
      </c>
      <c r="AY2">
        <v>0.1615</v>
      </c>
      <c r="AZ2">
        <v>0.1857</v>
      </c>
      <c r="BA2">
        <v>0.22070000000000001</v>
      </c>
      <c r="BB2">
        <v>0.20419999999999999</v>
      </c>
    </row>
    <row r="3" spans="1:54" x14ac:dyDescent="0.25">
      <c r="A3" s="1" t="s">
        <v>55</v>
      </c>
      <c r="B3">
        <v>0.52980000000000005</v>
      </c>
      <c r="C3">
        <v>0.50060000000000004</v>
      </c>
      <c r="D3">
        <v>0.19320000000000001</v>
      </c>
      <c r="E3">
        <v>0.49380000000000002</v>
      </c>
      <c r="F3">
        <v>1.6899999999999998E-2</v>
      </c>
      <c r="G3">
        <v>0.86929999999999996</v>
      </c>
      <c r="H3">
        <v>0.42809999999999998</v>
      </c>
      <c r="I3">
        <v>0.48299999999999998</v>
      </c>
      <c r="J3">
        <v>0.55659999999999998</v>
      </c>
      <c r="K3">
        <v>0.46150000000000002</v>
      </c>
      <c r="L3">
        <v>3.2599999999999997E-2</v>
      </c>
      <c r="M3">
        <v>0.621</v>
      </c>
      <c r="N3">
        <v>0.4839</v>
      </c>
      <c r="O3">
        <v>0.51939999999999997</v>
      </c>
      <c r="P3">
        <v>0.48399999999999999</v>
      </c>
      <c r="Q3">
        <v>0.48010000000000003</v>
      </c>
      <c r="R3">
        <v>0.54559999999999997</v>
      </c>
      <c r="S3">
        <v>0.5292</v>
      </c>
      <c r="T3">
        <v>0.44640000000000002</v>
      </c>
      <c r="U3">
        <v>0.51600000000000001</v>
      </c>
      <c r="V3">
        <v>0.49249999999999999</v>
      </c>
      <c r="W3">
        <v>0.18970000000000001</v>
      </c>
      <c r="X3">
        <v>0.1973</v>
      </c>
      <c r="Y3">
        <v>0.20269999999999999</v>
      </c>
      <c r="Z3">
        <v>0.18329999999999999</v>
      </c>
      <c r="AA3">
        <v>0.18740000000000001</v>
      </c>
      <c r="AB3">
        <v>0.20030000000000001</v>
      </c>
      <c r="AC3">
        <v>0.18920000000000001</v>
      </c>
      <c r="AD3">
        <v>0.1953</v>
      </c>
      <c r="AE3">
        <v>0.5081</v>
      </c>
      <c r="AF3">
        <v>0.51129999999999998</v>
      </c>
      <c r="AG3">
        <v>0.50349999999999995</v>
      </c>
      <c r="AH3">
        <v>0.47689999999999999</v>
      </c>
      <c r="AI3">
        <v>0.53510000000000002</v>
      </c>
      <c r="AJ3">
        <v>0.5</v>
      </c>
      <c r="AK3">
        <v>0.55469999999999997</v>
      </c>
      <c r="AL3">
        <v>0.4</v>
      </c>
      <c r="AM3">
        <v>0.46150000000000002</v>
      </c>
      <c r="AN3">
        <v>0.50849999999999995</v>
      </c>
      <c r="AO3">
        <v>0.3987</v>
      </c>
      <c r="AP3">
        <v>0.4672</v>
      </c>
      <c r="AQ3">
        <v>0.18920000000000001</v>
      </c>
      <c r="AR3">
        <v>0.189</v>
      </c>
      <c r="AS3">
        <v>0.1953</v>
      </c>
      <c r="AT3">
        <v>0.19450000000000001</v>
      </c>
      <c r="AU3">
        <v>0.1898</v>
      </c>
      <c r="AV3">
        <v>0.2001</v>
      </c>
      <c r="AW3">
        <v>0.1787</v>
      </c>
      <c r="AX3">
        <v>0.21429999999999999</v>
      </c>
      <c r="AY3">
        <v>0.15260000000000001</v>
      </c>
      <c r="AZ3">
        <v>0.18609999999999999</v>
      </c>
      <c r="BA3">
        <v>0.22040000000000001</v>
      </c>
      <c r="BB3">
        <v>0.2079</v>
      </c>
    </row>
    <row r="4" spans="1:54" s="10" customFormat="1" x14ac:dyDescent="0.25">
      <c r="A4" s="13" t="s">
        <v>56</v>
      </c>
      <c r="B4" s="10">
        <v>0.53910000000000002</v>
      </c>
      <c r="C4" s="10">
        <v>0.50019999999999998</v>
      </c>
      <c r="D4" s="10">
        <v>0.19350000000000001</v>
      </c>
      <c r="E4" s="10">
        <v>0.50190000000000001</v>
      </c>
      <c r="F4" s="10">
        <v>2.4400000000000002E-2</v>
      </c>
      <c r="G4" s="10">
        <v>0.84499999999999997</v>
      </c>
      <c r="H4" s="10">
        <v>0.47510000000000002</v>
      </c>
      <c r="I4" s="10">
        <v>0.48780000000000001</v>
      </c>
      <c r="J4" s="10">
        <v>0.52849999999999997</v>
      </c>
      <c r="K4" s="10">
        <v>0.57689999999999997</v>
      </c>
      <c r="L4" s="10">
        <v>4.6899999999999997E-2</v>
      </c>
      <c r="M4" s="10">
        <v>0.61850000000000005</v>
      </c>
      <c r="N4" s="10">
        <v>0.50039999999999996</v>
      </c>
      <c r="O4" s="10">
        <v>0.53539999999999999</v>
      </c>
      <c r="P4" s="10">
        <v>0.49719999999999998</v>
      </c>
      <c r="Q4" s="10">
        <v>0.48049999999999998</v>
      </c>
      <c r="R4" s="10">
        <v>0.55149999999999999</v>
      </c>
      <c r="S4" s="10">
        <v>0.52569999999999995</v>
      </c>
      <c r="T4" s="10">
        <v>0.41710000000000003</v>
      </c>
      <c r="U4" s="10">
        <v>0.50270000000000004</v>
      </c>
      <c r="V4" s="10">
        <v>0.49940000000000001</v>
      </c>
      <c r="W4" s="10">
        <v>0.18709999999999999</v>
      </c>
      <c r="X4" s="10">
        <v>0.19839999999999999</v>
      </c>
      <c r="Y4" s="10">
        <v>0.2051</v>
      </c>
      <c r="Z4" s="10">
        <v>0.182</v>
      </c>
      <c r="AA4" s="10">
        <v>0.1837</v>
      </c>
      <c r="AB4" s="10">
        <v>0.20549999999999999</v>
      </c>
      <c r="AC4" s="10">
        <v>0.1908</v>
      </c>
      <c r="AD4" s="10">
        <v>0.1943</v>
      </c>
      <c r="AE4" s="10">
        <v>0.51039999999999996</v>
      </c>
      <c r="AF4" s="10">
        <v>0.50570000000000004</v>
      </c>
      <c r="AG4" s="10">
        <v>0.50180000000000002</v>
      </c>
      <c r="AH4" s="10">
        <v>0.49619999999999997</v>
      </c>
      <c r="AI4" s="10">
        <v>0.54549999999999998</v>
      </c>
      <c r="AJ4" s="10">
        <v>0.53849999999999998</v>
      </c>
      <c r="AK4" s="10">
        <v>0.55559999999999998</v>
      </c>
      <c r="AM4" s="10">
        <v>0.61539999999999995</v>
      </c>
      <c r="AN4" s="10">
        <v>0.46360000000000001</v>
      </c>
      <c r="AO4" s="10">
        <v>0.41410000000000002</v>
      </c>
      <c r="AP4" s="10">
        <v>0.48649999999999999</v>
      </c>
      <c r="AQ4" s="10">
        <v>0.18759999999999999</v>
      </c>
      <c r="AR4" s="10">
        <v>0.18909999999999999</v>
      </c>
      <c r="AS4" s="10">
        <v>0.19789999999999999</v>
      </c>
      <c r="AT4" s="10">
        <v>0.1903</v>
      </c>
      <c r="AU4" s="10">
        <v>0.18440000000000001</v>
      </c>
      <c r="AV4" s="10">
        <v>0.1905</v>
      </c>
      <c r="AW4" s="10">
        <v>0.17910000000000001</v>
      </c>
      <c r="AY4" s="10">
        <v>0.16020000000000001</v>
      </c>
      <c r="AZ4" s="10">
        <v>0.19650000000000001</v>
      </c>
      <c r="BA4" s="10">
        <v>0.2203</v>
      </c>
      <c r="BB4" s="10">
        <v>0.20649999999999999</v>
      </c>
    </row>
    <row r="5" spans="1:54" x14ac:dyDescent="0.25">
      <c r="A5" s="1" t="s">
        <v>63</v>
      </c>
      <c r="B5">
        <v>0.5363</v>
      </c>
      <c r="C5">
        <v>0.48870000000000002</v>
      </c>
      <c r="D5">
        <v>0.19370000000000001</v>
      </c>
      <c r="E5">
        <v>0.48809999999999998</v>
      </c>
      <c r="F5">
        <v>1.6000000000000001E-3</v>
      </c>
      <c r="G5">
        <v>0.85570000000000002</v>
      </c>
      <c r="H5">
        <v>0.44190000000000002</v>
      </c>
      <c r="I5">
        <v>0.47389999999999999</v>
      </c>
      <c r="J5">
        <v>0.52969999999999995</v>
      </c>
      <c r="K5">
        <v>1</v>
      </c>
      <c r="L5">
        <v>3.2000000000000002E-3</v>
      </c>
      <c r="M5">
        <v>0.61</v>
      </c>
      <c r="N5">
        <v>0.4819</v>
      </c>
      <c r="O5">
        <v>0.5222</v>
      </c>
      <c r="P5">
        <v>0.4874</v>
      </c>
      <c r="Q5">
        <v>0.47810000000000002</v>
      </c>
      <c r="R5">
        <v>0.53480000000000005</v>
      </c>
      <c r="S5">
        <v>0.50119999999999998</v>
      </c>
      <c r="T5">
        <v>0.41880000000000001</v>
      </c>
      <c r="U5">
        <v>0.49359999999999998</v>
      </c>
      <c r="V5">
        <v>0.48709999999999998</v>
      </c>
      <c r="W5">
        <v>0.18809999999999999</v>
      </c>
      <c r="X5">
        <v>0.19789999999999999</v>
      </c>
      <c r="Y5">
        <v>0.20730000000000001</v>
      </c>
      <c r="Z5">
        <v>0.18149999999999999</v>
      </c>
      <c r="AA5">
        <v>0.18440000000000001</v>
      </c>
      <c r="AB5">
        <v>0.20330000000000001</v>
      </c>
      <c r="AC5">
        <v>0.18920000000000001</v>
      </c>
      <c r="AD5">
        <v>0.1951</v>
      </c>
      <c r="AE5">
        <v>0.49880000000000002</v>
      </c>
      <c r="AF5">
        <v>0.50749999999999995</v>
      </c>
      <c r="AG5">
        <v>0.47270000000000001</v>
      </c>
      <c r="AH5">
        <v>0.48080000000000001</v>
      </c>
      <c r="AI5">
        <v>0.55759999999999998</v>
      </c>
      <c r="AJ5">
        <v>0.53849999999999998</v>
      </c>
      <c r="AK5">
        <v>0.55559999999999998</v>
      </c>
      <c r="AM5">
        <v>0.61539999999999995</v>
      </c>
      <c r="AN5">
        <v>0.48309999999999997</v>
      </c>
      <c r="AO5">
        <v>0.37340000000000001</v>
      </c>
      <c r="AP5">
        <v>0.4672</v>
      </c>
      <c r="AQ5">
        <v>0.18770000000000001</v>
      </c>
      <c r="AR5">
        <v>0.18870000000000001</v>
      </c>
      <c r="AS5">
        <v>0.19900000000000001</v>
      </c>
      <c r="AT5">
        <v>0.1933</v>
      </c>
      <c r="AU5">
        <v>0.18609999999999999</v>
      </c>
      <c r="AV5">
        <v>0.18709999999999999</v>
      </c>
      <c r="AW5">
        <v>0.1719</v>
      </c>
      <c r="AY5">
        <v>0.16589999999999999</v>
      </c>
      <c r="AZ5">
        <v>0.18720000000000001</v>
      </c>
      <c r="BA5">
        <v>0.22090000000000001</v>
      </c>
      <c r="BB5">
        <v>0.2039</v>
      </c>
    </row>
    <row r="6" spans="1:54" x14ac:dyDescent="0.25">
      <c r="A6" s="1" t="s">
        <v>57</v>
      </c>
      <c r="B6">
        <v>0.52769999999999995</v>
      </c>
      <c r="C6">
        <v>0.50019999999999998</v>
      </c>
      <c r="D6">
        <v>0.19389999999999999</v>
      </c>
      <c r="E6">
        <v>0.49809999999999999</v>
      </c>
      <c r="F6">
        <v>0</v>
      </c>
      <c r="G6">
        <v>0.89759999999999995</v>
      </c>
      <c r="H6">
        <v>0.40389999999999998</v>
      </c>
      <c r="I6">
        <v>0.47810000000000002</v>
      </c>
      <c r="J6">
        <v>0.57889999999999997</v>
      </c>
      <c r="M6">
        <v>0.62390000000000001</v>
      </c>
      <c r="N6">
        <v>0.4758</v>
      </c>
      <c r="O6">
        <v>0.5222</v>
      </c>
      <c r="P6">
        <v>0.49769999999999998</v>
      </c>
      <c r="Q6">
        <v>0.47160000000000002</v>
      </c>
      <c r="R6">
        <v>0.52869999999999995</v>
      </c>
      <c r="S6">
        <v>0.53720000000000001</v>
      </c>
      <c r="T6">
        <v>0.44440000000000002</v>
      </c>
      <c r="U6">
        <v>0.505</v>
      </c>
      <c r="V6">
        <v>0.49769999999999998</v>
      </c>
      <c r="W6">
        <v>0.1893</v>
      </c>
      <c r="X6">
        <v>0.19620000000000001</v>
      </c>
      <c r="Y6">
        <v>0.20660000000000001</v>
      </c>
      <c r="Z6">
        <v>0.18659999999999999</v>
      </c>
      <c r="AA6">
        <v>0.18779999999999999</v>
      </c>
      <c r="AB6">
        <v>0.19919999999999999</v>
      </c>
      <c r="AC6">
        <v>0.189</v>
      </c>
      <c r="AD6">
        <v>0.19650000000000001</v>
      </c>
      <c r="AE6">
        <v>0.5081</v>
      </c>
      <c r="AF6">
        <v>0.50380000000000003</v>
      </c>
      <c r="AG6">
        <v>0.4894</v>
      </c>
      <c r="AH6">
        <v>0.5</v>
      </c>
      <c r="AI6">
        <v>0.54590000000000005</v>
      </c>
      <c r="AJ6">
        <v>0.4919</v>
      </c>
      <c r="AK6">
        <v>0.52549999999999997</v>
      </c>
      <c r="AL6">
        <v>0.4</v>
      </c>
      <c r="AM6">
        <v>0.53849999999999998</v>
      </c>
      <c r="AN6">
        <v>0.51690000000000003</v>
      </c>
      <c r="AO6">
        <v>0.41139999999999999</v>
      </c>
      <c r="AP6">
        <v>0.48359999999999997</v>
      </c>
      <c r="AQ6">
        <v>0.1903</v>
      </c>
      <c r="AR6">
        <v>0.1905</v>
      </c>
      <c r="AS6">
        <v>0.19670000000000001</v>
      </c>
      <c r="AT6">
        <v>0.1893</v>
      </c>
      <c r="AU6">
        <v>0.189</v>
      </c>
      <c r="AV6">
        <v>0.2036</v>
      </c>
      <c r="AW6">
        <v>0.1797</v>
      </c>
      <c r="AX6">
        <v>0.24199999999999999</v>
      </c>
      <c r="AY6">
        <v>0.15840000000000001</v>
      </c>
      <c r="AZ6">
        <v>0.191</v>
      </c>
      <c r="BA6">
        <v>0.22120000000000001</v>
      </c>
      <c r="BB6">
        <v>0.20799999999999999</v>
      </c>
    </row>
    <row r="7" spans="1:54" x14ac:dyDescent="0.25">
      <c r="A7" s="1" t="s">
        <v>54</v>
      </c>
      <c r="B7">
        <v>0.53769999999999996</v>
      </c>
      <c r="C7">
        <v>0.50209999999999999</v>
      </c>
      <c r="D7">
        <v>0.19420000000000001</v>
      </c>
      <c r="E7">
        <v>0.5</v>
      </c>
      <c r="F7">
        <v>5.4899999999999997E-2</v>
      </c>
      <c r="G7">
        <v>0.85650000000000004</v>
      </c>
      <c r="H7">
        <v>0.41720000000000002</v>
      </c>
      <c r="I7">
        <v>0.49320000000000003</v>
      </c>
      <c r="J7">
        <v>0.55559999999999998</v>
      </c>
      <c r="K7">
        <v>0.35449999999999998</v>
      </c>
      <c r="L7">
        <v>9.5100000000000004E-2</v>
      </c>
      <c r="M7">
        <v>0.62590000000000001</v>
      </c>
      <c r="N7">
        <v>0.47649999999999998</v>
      </c>
      <c r="O7">
        <v>0.53890000000000005</v>
      </c>
      <c r="P7">
        <v>0.5</v>
      </c>
      <c r="Q7">
        <v>0.46879999999999999</v>
      </c>
      <c r="R7">
        <v>0.55840000000000001</v>
      </c>
      <c r="S7">
        <v>0.5131</v>
      </c>
      <c r="T7">
        <v>0.43859999999999999</v>
      </c>
      <c r="U7">
        <v>0.51929999999999998</v>
      </c>
      <c r="V7">
        <v>0.49299999999999999</v>
      </c>
      <c r="W7">
        <v>0.1885</v>
      </c>
      <c r="X7">
        <v>0.1976</v>
      </c>
      <c r="Y7">
        <v>0.20930000000000001</v>
      </c>
      <c r="Z7">
        <v>0.1847</v>
      </c>
      <c r="AA7">
        <v>0.18729999999999999</v>
      </c>
      <c r="AB7">
        <v>0.20039999999999999</v>
      </c>
      <c r="AC7">
        <v>0.189</v>
      </c>
      <c r="AD7">
        <v>0.19700000000000001</v>
      </c>
      <c r="AE7">
        <v>0.51970000000000005</v>
      </c>
      <c r="AF7">
        <v>0.5</v>
      </c>
      <c r="AG7">
        <v>0.50700000000000001</v>
      </c>
      <c r="AH7">
        <v>0.48849999999999999</v>
      </c>
      <c r="AI7">
        <v>0.53510000000000002</v>
      </c>
      <c r="AJ7">
        <v>0.5081</v>
      </c>
      <c r="AK7">
        <v>0.55110000000000003</v>
      </c>
      <c r="AL7">
        <v>0.4</v>
      </c>
      <c r="AM7">
        <v>0.46150000000000002</v>
      </c>
      <c r="AN7">
        <v>0.47460000000000002</v>
      </c>
      <c r="AO7">
        <v>0.40510000000000002</v>
      </c>
      <c r="AP7">
        <v>0.48359999999999997</v>
      </c>
      <c r="AQ7">
        <v>0.1893</v>
      </c>
      <c r="AR7">
        <v>0.19070000000000001</v>
      </c>
      <c r="AS7">
        <v>0.19819999999999999</v>
      </c>
      <c r="AT7">
        <v>0.19220000000000001</v>
      </c>
      <c r="AU7">
        <v>0.19220000000000001</v>
      </c>
      <c r="AV7">
        <v>0.2011</v>
      </c>
      <c r="AW7">
        <v>0.17910000000000001</v>
      </c>
      <c r="AX7">
        <v>0.24809999999999999</v>
      </c>
      <c r="AY7">
        <v>0.16259999999999999</v>
      </c>
      <c r="AZ7">
        <v>0.1898</v>
      </c>
      <c r="BA7">
        <v>0.2235</v>
      </c>
      <c r="BB7">
        <v>0.20569999999999999</v>
      </c>
    </row>
    <row r="8" spans="1:54" x14ac:dyDescent="0.25">
      <c r="A8" s="1" t="s">
        <v>60</v>
      </c>
      <c r="B8">
        <v>0.53390000000000004</v>
      </c>
      <c r="C8">
        <v>0.49070000000000003</v>
      </c>
      <c r="D8">
        <v>0.19489999999999999</v>
      </c>
      <c r="E8">
        <v>0.48430000000000001</v>
      </c>
      <c r="F8">
        <v>0</v>
      </c>
      <c r="G8">
        <v>0.86009999999999998</v>
      </c>
      <c r="H8">
        <v>0.42320000000000002</v>
      </c>
      <c r="I8">
        <v>0.47839999999999999</v>
      </c>
      <c r="J8">
        <v>0.52710000000000001</v>
      </c>
      <c r="M8">
        <v>0.61480000000000001</v>
      </c>
      <c r="N8">
        <v>0.46949999999999997</v>
      </c>
      <c r="O8">
        <v>0.49440000000000001</v>
      </c>
      <c r="P8">
        <v>0.48859999999999998</v>
      </c>
      <c r="Q8">
        <v>0.4602</v>
      </c>
      <c r="R8">
        <v>0.54559999999999997</v>
      </c>
      <c r="S8">
        <v>0.5292</v>
      </c>
      <c r="T8">
        <v>0.42299999999999999</v>
      </c>
      <c r="U8">
        <v>0.4884</v>
      </c>
      <c r="V8">
        <v>0.4919</v>
      </c>
      <c r="W8">
        <v>0.19059999999999999</v>
      </c>
      <c r="X8">
        <v>0.19539999999999999</v>
      </c>
      <c r="Y8">
        <v>0.20499999999999999</v>
      </c>
      <c r="Z8">
        <v>0.1837</v>
      </c>
      <c r="AA8">
        <v>0.18770000000000001</v>
      </c>
      <c r="AB8">
        <v>0.20799999999999999</v>
      </c>
      <c r="AC8">
        <v>0.192</v>
      </c>
      <c r="AD8">
        <v>0.19650000000000001</v>
      </c>
      <c r="AE8">
        <v>0.50349999999999995</v>
      </c>
      <c r="AF8">
        <v>0.48110000000000003</v>
      </c>
      <c r="AG8">
        <v>0.4859</v>
      </c>
      <c r="AH8">
        <v>0.5</v>
      </c>
      <c r="AI8">
        <v>0.54049999999999998</v>
      </c>
      <c r="AJ8">
        <v>0.4677</v>
      </c>
      <c r="AK8">
        <v>0.54010000000000002</v>
      </c>
      <c r="AL8">
        <v>0.4</v>
      </c>
      <c r="AM8">
        <v>0.53849999999999998</v>
      </c>
      <c r="AN8">
        <v>0.50849999999999995</v>
      </c>
      <c r="AO8">
        <v>0.3987</v>
      </c>
      <c r="AP8">
        <v>0.45490000000000003</v>
      </c>
      <c r="AQ8">
        <v>0.18940000000000001</v>
      </c>
      <c r="AR8">
        <v>0.19359999999999999</v>
      </c>
      <c r="AS8">
        <v>0.2001</v>
      </c>
      <c r="AT8">
        <v>0.19259999999999999</v>
      </c>
      <c r="AU8">
        <v>0.186</v>
      </c>
      <c r="AV8">
        <v>0.20480000000000001</v>
      </c>
      <c r="AW8">
        <v>0.17849999999999999</v>
      </c>
      <c r="AX8">
        <v>0.2152</v>
      </c>
      <c r="AY8">
        <v>0.15010000000000001</v>
      </c>
      <c r="AZ8">
        <v>0.18890000000000001</v>
      </c>
      <c r="BA8">
        <v>0.223</v>
      </c>
      <c r="BB8">
        <v>0.2109</v>
      </c>
    </row>
    <row r="9" spans="1:54" x14ac:dyDescent="0.25">
      <c r="A9" s="1" t="s">
        <v>59</v>
      </c>
      <c r="B9">
        <v>0.51990000000000003</v>
      </c>
      <c r="C9">
        <v>0.49180000000000001</v>
      </c>
      <c r="D9">
        <v>0.1951</v>
      </c>
      <c r="E9">
        <v>0.48530000000000001</v>
      </c>
      <c r="F9">
        <v>1.4E-3</v>
      </c>
      <c r="G9">
        <v>0.87109999999999999</v>
      </c>
      <c r="H9">
        <v>0.41110000000000002</v>
      </c>
      <c r="I9">
        <v>0.47989999999999999</v>
      </c>
      <c r="J9">
        <v>0.52800000000000002</v>
      </c>
      <c r="K9">
        <v>1</v>
      </c>
      <c r="L9">
        <v>2.8E-3</v>
      </c>
      <c r="M9">
        <v>0.61880000000000002</v>
      </c>
      <c r="N9">
        <v>0.46229999999999999</v>
      </c>
      <c r="O9">
        <v>0.5111</v>
      </c>
      <c r="P9">
        <v>0.47949999999999998</v>
      </c>
      <c r="Q9">
        <v>0.46310000000000001</v>
      </c>
      <c r="R9">
        <v>0.5393</v>
      </c>
      <c r="S9">
        <v>0.5252</v>
      </c>
      <c r="T9">
        <v>0.43269999999999997</v>
      </c>
      <c r="U9">
        <v>0.50390000000000001</v>
      </c>
      <c r="V9">
        <v>0.48549999999999999</v>
      </c>
      <c r="W9">
        <v>0.1905</v>
      </c>
      <c r="X9">
        <v>0.19839999999999999</v>
      </c>
      <c r="Y9">
        <v>0.20669999999999999</v>
      </c>
      <c r="Z9">
        <v>0.18759999999999999</v>
      </c>
      <c r="AA9">
        <v>0.18640000000000001</v>
      </c>
      <c r="AB9">
        <v>0.20300000000000001</v>
      </c>
      <c r="AC9">
        <v>0.191</v>
      </c>
      <c r="AD9">
        <v>0.1973</v>
      </c>
      <c r="AE9">
        <v>0.4849</v>
      </c>
      <c r="AF9">
        <v>0.48680000000000001</v>
      </c>
      <c r="AG9">
        <v>0.4859</v>
      </c>
      <c r="AH9">
        <v>0.51539999999999997</v>
      </c>
      <c r="AI9">
        <v>0.5081</v>
      </c>
      <c r="AJ9">
        <v>0.5323</v>
      </c>
      <c r="AK9">
        <v>0.54010000000000002</v>
      </c>
      <c r="AL9">
        <v>0.4</v>
      </c>
      <c r="AM9">
        <v>0.46150000000000002</v>
      </c>
      <c r="AN9">
        <v>0.5</v>
      </c>
      <c r="AO9">
        <v>0.3987</v>
      </c>
      <c r="AP9">
        <v>0.4713</v>
      </c>
      <c r="AQ9">
        <v>0.1913</v>
      </c>
      <c r="AR9">
        <v>0.19209999999999999</v>
      </c>
      <c r="AS9">
        <v>0.19919999999999999</v>
      </c>
      <c r="AT9">
        <v>0.19220000000000001</v>
      </c>
      <c r="AU9">
        <v>0.19070000000000001</v>
      </c>
      <c r="AV9">
        <v>0.2024</v>
      </c>
      <c r="AW9">
        <v>0.18260000000000001</v>
      </c>
      <c r="AX9">
        <v>0.2387</v>
      </c>
      <c r="AY9">
        <v>0.1573</v>
      </c>
      <c r="AZ9">
        <v>0.1898</v>
      </c>
      <c r="BA9">
        <v>0.22220000000000001</v>
      </c>
      <c r="BB9">
        <v>0.2059</v>
      </c>
    </row>
    <row r="10" spans="1:54" x14ac:dyDescent="0.25">
      <c r="A10" s="14" t="s">
        <v>61</v>
      </c>
      <c r="B10">
        <v>0.53910000000000002</v>
      </c>
      <c r="C10">
        <v>0.48970000000000002</v>
      </c>
      <c r="D10">
        <v>0.19520000000000001</v>
      </c>
      <c r="E10">
        <v>0.49049999999999999</v>
      </c>
      <c r="F10">
        <v>1.6299999999999999E-2</v>
      </c>
      <c r="G10">
        <v>0.8417</v>
      </c>
      <c r="H10">
        <v>0.45319999999999999</v>
      </c>
      <c r="I10">
        <v>0.4788</v>
      </c>
      <c r="J10">
        <v>0.53169999999999995</v>
      </c>
      <c r="K10">
        <v>0.28570000000000001</v>
      </c>
      <c r="L10">
        <v>3.0800000000000001E-2</v>
      </c>
      <c r="M10">
        <v>0.61029999999999995</v>
      </c>
      <c r="N10">
        <v>0.48930000000000001</v>
      </c>
      <c r="O10">
        <v>0.50139999999999996</v>
      </c>
      <c r="P10">
        <v>0.49719999999999998</v>
      </c>
      <c r="Q10">
        <v>0.49680000000000002</v>
      </c>
      <c r="R10">
        <v>0.53200000000000003</v>
      </c>
      <c r="S10">
        <v>0.50119999999999998</v>
      </c>
      <c r="T10">
        <v>0.41949999999999998</v>
      </c>
      <c r="U10">
        <v>0.50090000000000001</v>
      </c>
      <c r="V10">
        <v>0.48599999999999999</v>
      </c>
      <c r="W10">
        <v>0.1905</v>
      </c>
      <c r="X10">
        <v>0.19789999999999999</v>
      </c>
      <c r="Y10">
        <v>0.2046</v>
      </c>
      <c r="Z10">
        <v>0.18590000000000001</v>
      </c>
      <c r="AA10">
        <v>0.1867</v>
      </c>
      <c r="AB10">
        <v>0.20660000000000001</v>
      </c>
      <c r="AC10">
        <v>0.19520000000000001</v>
      </c>
      <c r="AD10">
        <v>0.1953</v>
      </c>
      <c r="AE10">
        <v>0.50119999999999998</v>
      </c>
      <c r="AF10">
        <v>0.51700000000000002</v>
      </c>
      <c r="AG10">
        <v>0.46910000000000002</v>
      </c>
      <c r="AH10">
        <v>0.47310000000000002</v>
      </c>
      <c r="AI10">
        <v>0.53939999999999999</v>
      </c>
      <c r="AJ10">
        <v>0.51919999999999999</v>
      </c>
      <c r="AK10">
        <v>0.55559999999999998</v>
      </c>
      <c r="AM10">
        <v>0.61539999999999995</v>
      </c>
      <c r="AN10">
        <v>0.47270000000000001</v>
      </c>
      <c r="AO10">
        <v>0.39839999999999998</v>
      </c>
      <c r="AP10">
        <v>0.45500000000000002</v>
      </c>
      <c r="AQ10">
        <v>0.18970000000000001</v>
      </c>
      <c r="AR10">
        <v>0.19209999999999999</v>
      </c>
      <c r="AS10">
        <v>0.20119999999999999</v>
      </c>
      <c r="AT10">
        <v>0.19159999999999999</v>
      </c>
      <c r="AU10">
        <v>0.1837</v>
      </c>
      <c r="AV10">
        <v>0.19719999999999999</v>
      </c>
      <c r="AW10">
        <v>0.1736</v>
      </c>
      <c r="AY10">
        <v>0.1502</v>
      </c>
      <c r="AZ10">
        <v>0.19450000000000001</v>
      </c>
      <c r="BA10">
        <v>0.21909999999999999</v>
      </c>
      <c r="BB10">
        <v>0.20860000000000001</v>
      </c>
    </row>
    <row r="11" spans="1:54" x14ac:dyDescent="0.25">
      <c r="A11" s="1" t="s">
        <v>67</v>
      </c>
      <c r="B11">
        <v>0.48470000000000002</v>
      </c>
      <c r="C11">
        <v>0.4541</v>
      </c>
      <c r="D11">
        <v>0.19550000000000001</v>
      </c>
      <c r="E11">
        <v>0.47720000000000001</v>
      </c>
      <c r="F11">
        <v>0.28310000000000002</v>
      </c>
      <c r="G11">
        <v>0.51370000000000005</v>
      </c>
      <c r="H11">
        <v>0.58040000000000003</v>
      </c>
      <c r="I11">
        <v>0.57879999999999998</v>
      </c>
      <c r="J11">
        <v>0.46920000000000001</v>
      </c>
      <c r="K11">
        <v>0.3155</v>
      </c>
      <c r="L11">
        <v>0.2984</v>
      </c>
      <c r="M11">
        <v>0.54430000000000001</v>
      </c>
      <c r="N11">
        <v>0.51890000000000003</v>
      </c>
      <c r="O11">
        <v>0.49170000000000003</v>
      </c>
      <c r="P11">
        <v>0.48170000000000002</v>
      </c>
      <c r="Q11">
        <v>0.4773</v>
      </c>
      <c r="R11">
        <v>0.55410000000000004</v>
      </c>
      <c r="S11">
        <v>0.47889999999999999</v>
      </c>
      <c r="T11">
        <v>0.36649999999999999</v>
      </c>
      <c r="U11">
        <v>0.4355</v>
      </c>
      <c r="V11">
        <v>0.4919</v>
      </c>
      <c r="W11">
        <v>0.18859999999999999</v>
      </c>
      <c r="X11">
        <v>0.19620000000000001</v>
      </c>
      <c r="Y11">
        <v>0.2069</v>
      </c>
      <c r="Z11">
        <v>0.18779999999999999</v>
      </c>
      <c r="AA11">
        <v>0.1903</v>
      </c>
      <c r="AB11">
        <v>0.2039</v>
      </c>
      <c r="AC11">
        <v>0.19209999999999999</v>
      </c>
      <c r="AD11">
        <v>0.1973</v>
      </c>
      <c r="AE11">
        <v>0.50349999999999995</v>
      </c>
      <c r="AF11">
        <v>0.46039999999999998</v>
      </c>
      <c r="AG11">
        <v>0.43659999999999999</v>
      </c>
      <c r="AH11">
        <v>0.49619999999999997</v>
      </c>
      <c r="AI11">
        <v>0.4919</v>
      </c>
      <c r="AJ11">
        <v>0.4839</v>
      </c>
      <c r="AK11">
        <v>0.44890000000000002</v>
      </c>
      <c r="AL11">
        <v>0.3</v>
      </c>
      <c r="AM11">
        <v>0.3846</v>
      </c>
      <c r="AN11">
        <v>0.43219999999999997</v>
      </c>
      <c r="AO11">
        <v>0.5</v>
      </c>
      <c r="AP11">
        <v>0.47949999999999998</v>
      </c>
      <c r="AQ11">
        <v>0.1928</v>
      </c>
      <c r="AR11">
        <v>0.1933</v>
      </c>
      <c r="AS11">
        <v>0.19980000000000001</v>
      </c>
      <c r="AT11">
        <v>0.1938</v>
      </c>
      <c r="AU11">
        <v>0.1938</v>
      </c>
      <c r="AV11">
        <v>0.20030000000000001</v>
      </c>
      <c r="AW11">
        <v>0.183</v>
      </c>
      <c r="AX11">
        <v>0.22689999999999999</v>
      </c>
      <c r="AY11">
        <v>0.1663</v>
      </c>
      <c r="AZ11">
        <v>0.18920000000000001</v>
      </c>
      <c r="BA11">
        <v>0.21390000000000001</v>
      </c>
      <c r="BB11">
        <v>0.2059</v>
      </c>
    </row>
    <row r="12" spans="1:54" x14ac:dyDescent="0.25">
      <c r="A12" s="1" t="s">
        <v>62</v>
      </c>
      <c r="B12">
        <v>0.53620000000000001</v>
      </c>
      <c r="C12">
        <v>0.48880000000000001</v>
      </c>
      <c r="D12">
        <v>0.19570000000000001</v>
      </c>
      <c r="E12">
        <v>0.49049999999999999</v>
      </c>
      <c r="F12">
        <v>1.95E-2</v>
      </c>
      <c r="G12">
        <v>0.85729999999999995</v>
      </c>
      <c r="H12">
        <v>0.4269</v>
      </c>
      <c r="I12">
        <v>0.47349999999999998</v>
      </c>
      <c r="J12">
        <v>0.53869999999999996</v>
      </c>
      <c r="K12">
        <v>0.4138</v>
      </c>
      <c r="L12">
        <v>3.73E-2</v>
      </c>
      <c r="M12">
        <v>0.61009999999999998</v>
      </c>
      <c r="N12">
        <v>0.4763</v>
      </c>
      <c r="O12">
        <v>0.53259999999999996</v>
      </c>
      <c r="P12">
        <v>0.47470000000000001</v>
      </c>
      <c r="Q12">
        <v>0.47399999999999998</v>
      </c>
      <c r="R12">
        <v>0.54039999999999999</v>
      </c>
      <c r="S12">
        <v>0.51100000000000001</v>
      </c>
      <c r="T12">
        <v>0.4073</v>
      </c>
      <c r="U12">
        <v>0.49359999999999998</v>
      </c>
      <c r="V12">
        <v>0.48720000000000002</v>
      </c>
      <c r="W12">
        <v>0.18809999999999999</v>
      </c>
      <c r="X12">
        <v>0.20180000000000001</v>
      </c>
      <c r="Y12">
        <v>0.20610000000000001</v>
      </c>
      <c r="Z12">
        <v>0.1867</v>
      </c>
      <c r="AA12">
        <v>0.1847</v>
      </c>
      <c r="AB12">
        <v>0.20810000000000001</v>
      </c>
      <c r="AC12">
        <v>0.19400000000000001</v>
      </c>
      <c r="AD12">
        <v>0.1963</v>
      </c>
      <c r="AE12">
        <v>0.49880000000000002</v>
      </c>
      <c r="AF12">
        <v>0.51700000000000002</v>
      </c>
      <c r="AG12">
        <v>0.47639999999999999</v>
      </c>
      <c r="AH12">
        <v>0.49230000000000002</v>
      </c>
      <c r="AI12">
        <v>0.52729999999999999</v>
      </c>
      <c r="AJ12">
        <v>0.5</v>
      </c>
      <c r="AK12">
        <v>0.55559999999999998</v>
      </c>
      <c r="AM12">
        <v>0.61539999999999995</v>
      </c>
      <c r="AN12">
        <v>0.46360000000000001</v>
      </c>
      <c r="AO12">
        <v>0.36720000000000003</v>
      </c>
      <c r="AP12">
        <v>0.45500000000000002</v>
      </c>
      <c r="AQ12">
        <v>0.19209999999999999</v>
      </c>
      <c r="AR12">
        <v>0.1908</v>
      </c>
      <c r="AS12">
        <v>0.2</v>
      </c>
      <c r="AT12">
        <v>0.19259999999999999</v>
      </c>
      <c r="AU12">
        <v>0.18529999999999999</v>
      </c>
      <c r="AV12">
        <v>0.19239999999999999</v>
      </c>
      <c r="AW12">
        <v>0.17130000000000001</v>
      </c>
      <c r="AY12">
        <v>0.15909999999999999</v>
      </c>
      <c r="AZ12">
        <v>0.19839999999999999</v>
      </c>
      <c r="BA12">
        <v>0.21970000000000001</v>
      </c>
      <c r="BB12">
        <v>0.2089</v>
      </c>
    </row>
    <row r="13" spans="1:54" s="12" customFormat="1" x14ac:dyDescent="0.25">
      <c r="A13" s="11" t="s">
        <v>64</v>
      </c>
      <c r="B13" s="12">
        <v>1.1927000000000001</v>
      </c>
      <c r="C13" s="12">
        <v>0.4869</v>
      </c>
      <c r="D13" s="12">
        <v>0.19589999999999999</v>
      </c>
      <c r="E13" s="12">
        <v>0.48720000000000002</v>
      </c>
      <c r="F13" s="12">
        <v>0</v>
      </c>
      <c r="G13" s="12">
        <v>0.89</v>
      </c>
      <c r="H13" s="12">
        <v>0.38879999999999998</v>
      </c>
      <c r="I13" s="12">
        <v>0.46689999999999998</v>
      </c>
      <c r="J13" s="12">
        <v>0.55679999999999996</v>
      </c>
      <c r="M13" s="12">
        <v>0.61250000000000004</v>
      </c>
      <c r="N13" s="12">
        <v>0.45789999999999997</v>
      </c>
      <c r="O13" s="12">
        <v>0.49619999999999997</v>
      </c>
      <c r="P13" s="12">
        <v>0.50949999999999995</v>
      </c>
      <c r="Q13" s="12">
        <v>0.45319999999999999</v>
      </c>
      <c r="R13" s="12">
        <v>0.53910000000000002</v>
      </c>
      <c r="S13" s="12">
        <v>0.52380000000000004</v>
      </c>
      <c r="T13" s="12">
        <v>0.41510000000000002</v>
      </c>
      <c r="U13" s="12">
        <v>0.4869</v>
      </c>
      <c r="V13" s="12">
        <v>0.4869</v>
      </c>
      <c r="W13" s="12">
        <v>0.1943</v>
      </c>
      <c r="X13" s="12">
        <v>0.19739999999999999</v>
      </c>
      <c r="Y13" s="12">
        <v>0.20780000000000001</v>
      </c>
      <c r="Z13" s="12">
        <v>0.18360000000000001</v>
      </c>
      <c r="AA13" s="12">
        <v>0.1865</v>
      </c>
      <c r="AB13" s="12">
        <v>0.20430000000000001</v>
      </c>
      <c r="AC13" s="12">
        <v>0.19320000000000001</v>
      </c>
      <c r="AD13" s="12">
        <v>0.19689999999999999</v>
      </c>
      <c r="AE13" s="12">
        <v>0.496</v>
      </c>
      <c r="AF13" s="12">
        <v>0.5</v>
      </c>
      <c r="AG13" s="12">
        <v>0.48039999999999999</v>
      </c>
      <c r="AH13" s="12">
        <v>0.50719999999999998</v>
      </c>
      <c r="AI13" s="12">
        <v>0.5161</v>
      </c>
      <c r="AJ13" s="12">
        <v>0.46579999999999999</v>
      </c>
      <c r="AK13" s="12">
        <v>0.55559999999999998</v>
      </c>
      <c r="AN13" s="12">
        <v>0.51559999999999995</v>
      </c>
      <c r="AO13" s="12">
        <v>0.41499999999999998</v>
      </c>
      <c r="AP13" s="12">
        <v>0.46150000000000002</v>
      </c>
      <c r="AQ13" s="12">
        <v>0.191</v>
      </c>
      <c r="AR13" s="12">
        <v>0.19120000000000001</v>
      </c>
      <c r="AS13" s="12">
        <v>0.1978</v>
      </c>
      <c r="AT13" s="12">
        <v>0.19109999999999999</v>
      </c>
      <c r="AU13" s="12">
        <v>0.1895</v>
      </c>
      <c r="AV13" s="12">
        <v>0.20050000000000001</v>
      </c>
      <c r="AW13" s="12">
        <v>0.1724</v>
      </c>
      <c r="AZ13" s="12">
        <v>0.1905</v>
      </c>
      <c r="BA13" s="12">
        <v>0.21299999999999999</v>
      </c>
      <c r="BB13" s="12">
        <v>0.20899999999999999</v>
      </c>
    </row>
    <row r="14" spans="1:54" x14ac:dyDescent="0.25">
      <c r="A14" s="1" t="s">
        <v>58</v>
      </c>
      <c r="B14">
        <v>0.53669999999999995</v>
      </c>
      <c r="C14">
        <v>0.49270000000000003</v>
      </c>
      <c r="D14">
        <v>0.19639999999999999</v>
      </c>
      <c r="E14">
        <v>0.49430000000000002</v>
      </c>
      <c r="F14">
        <v>0</v>
      </c>
      <c r="G14">
        <v>0.83950000000000002</v>
      </c>
      <c r="H14">
        <v>0.4773</v>
      </c>
      <c r="I14">
        <v>0.48099999999999998</v>
      </c>
      <c r="J14">
        <v>0.52170000000000005</v>
      </c>
      <c r="M14">
        <v>0.61160000000000003</v>
      </c>
      <c r="N14">
        <v>0.4985</v>
      </c>
      <c r="O14">
        <v>0.51939999999999997</v>
      </c>
      <c r="P14">
        <v>0.49299999999999999</v>
      </c>
      <c r="Q14">
        <v>0.47810000000000002</v>
      </c>
      <c r="R14">
        <v>0.53759999999999997</v>
      </c>
      <c r="S14">
        <v>0.51339999999999997</v>
      </c>
      <c r="T14">
        <v>0.42349999999999999</v>
      </c>
      <c r="U14">
        <v>0.48820000000000002</v>
      </c>
      <c r="V14">
        <v>0.49409999999999998</v>
      </c>
      <c r="W14">
        <v>0.19020000000000001</v>
      </c>
      <c r="X14">
        <v>0.19939999999999999</v>
      </c>
      <c r="Y14">
        <v>0.2059</v>
      </c>
      <c r="Z14">
        <v>0.18659999999999999</v>
      </c>
      <c r="AA14">
        <v>0.1875</v>
      </c>
      <c r="AB14">
        <v>0.20849999999999999</v>
      </c>
      <c r="AC14">
        <v>0.1966</v>
      </c>
      <c r="AD14">
        <v>0.19639999999999999</v>
      </c>
      <c r="AE14">
        <v>0.50580000000000003</v>
      </c>
      <c r="AF14">
        <v>0.5</v>
      </c>
      <c r="AG14">
        <v>0.4909</v>
      </c>
      <c r="AH14">
        <v>0.5</v>
      </c>
      <c r="AI14">
        <v>0.54549999999999998</v>
      </c>
      <c r="AJ14">
        <v>0.48080000000000001</v>
      </c>
      <c r="AK14">
        <v>0.55559999999999998</v>
      </c>
      <c r="AM14">
        <v>0.46150000000000002</v>
      </c>
      <c r="AN14">
        <v>0.48309999999999997</v>
      </c>
      <c r="AO14">
        <v>0.40510000000000002</v>
      </c>
      <c r="AP14">
        <v>0.47539999999999999</v>
      </c>
      <c r="AQ14">
        <v>0.19070000000000001</v>
      </c>
      <c r="AR14">
        <v>0.19439999999999999</v>
      </c>
      <c r="AS14">
        <v>0.2021</v>
      </c>
      <c r="AT14">
        <v>0.1928</v>
      </c>
      <c r="AU14">
        <v>0.186</v>
      </c>
      <c r="AV14">
        <v>0.19789999999999999</v>
      </c>
      <c r="AW14">
        <v>0.18559999999999999</v>
      </c>
      <c r="AY14">
        <v>0.16020000000000001</v>
      </c>
      <c r="AZ14">
        <v>0.18870000000000001</v>
      </c>
      <c r="BA14">
        <v>0.2175</v>
      </c>
      <c r="BB14">
        <v>0.20760000000000001</v>
      </c>
    </row>
    <row r="15" spans="1:54" x14ac:dyDescent="0.25">
      <c r="A15" s="11" t="s">
        <v>65</v>
      </c>
      <c r="B15">
        <v>1.1954</v>
      </c>
      <c r="C15">
        <v>0.48609999999999998</v>
      </c>
      <c r="D15">
        <v>0.19650000000000001</v>
      </c>
      <c r="E15">
        <v>0.48720000000000002</v>
      </c>
      <c r="F15">
        <v>0</v>
      </c>
      <c r="G15">
        <v>0.90629999999999999</v>
      </c>
      <c r="H15">
        <v>0.3654</v>
      </c>
      <c r="I15">
        <v>0.46350000000000002</v>
      </c>
      <c r="J15">
        <v>0.5746</v>
      </c>
      <c r="M15">
        <v>0.61339999999999995</v>
      </c>
      <c r="N15">
        <v>0.44669999999999999</v>
      </c>
      <c r="O15">
        <v>0.49099999999999999</v>
      </c>
      <c r="P15">
        <v>0.51229999999999998</v>
      </c>
      <c r="Q15">
        <v>0.45319999999999999</v>
      </c>
      <c r="R15">
        <v>0.53100000000000003</v>
      </c>
      <c r="S15">
        <v>0.5262</v>
      </c>
      <c r="T15">
        <v>0.41720000000000002</v>
      </c>
      <c r="U15">
        <v>0.47910000000000003</v>
      </c>
      <c r="V15">
        <v>0.48859999999999998</v>
      </c>
      <c r="W15">
        <v>0.1953</v>
      </c>
      <c r="X15">
        <v>0.19819999999999999</v>
      </c>
      <c r="Y15">
        <v>0.20849999999999999</v>
      </c>
      <c r="Z15">
        <v>0.18490000000000001</v>
      </c>
      <c r="AA15">
        <v>0.1867</v>
      </c>
      <c r="AB15">
        <v>0.20399999999999999</v>
      </c>
      <c r="AC15">
        <v>0.19400000000000001</v>
      </c>
      <c r="AD15">
        <v>0.19739999999999999</v>
      </c>
      <c r="AE15">
        <v>0.502</v>
      </c>
      <c r="AF15">
        <v>0.5</v>
      </c>
      <c r="AG15">
        <v>0.47689999999999999</v>
      </c>
      <c r="AH15">
        <v>0.50360000000000005</v>
      </c>
      <c r="AI15">
        <v>0.49459999999999998</v>
      </c>
      <c r="AJ15">
        <v>0.46579999999999999</v>
      </c>
      <c r="AK15">
        <v>0.55559999999999998</v>
      </c>
      <c r="AN15">
        <v>0.51559999999999995</v>
      </c>
      <c r="AO15">
        <v>0.42499999999999999</v>
      </c>
      <c r="AP15">
        <v>0.45800000000000002</v>
      </c>
      <c r="AQ15">
        <v>0.19120000000000001</v>
      </c>
      <c r="AR15">
        <v>0.19209999999999999</v>
      </c>
      <c r="AS15">
        <v>0.1986</v>
      </c>
      <c r="AT15">
        <v>0.1915</v>
      </c>
      <c r="AU15">
        <v>0.19189999999999999</v>
      </c>
      <c r="AV15">
        <v>0.20119999999999999</v>
      </c>
      <c r="AW15">
        <v>0.1731</v>
      </c>
      <c r="AZ15">
        <v>0.1903</v>
      </c>
      <c r="BA15">
        <v>0.21390000000000001</v>
      </c>
      <c r="BB15">
        <v>0.20830000000000001</v>
      </c>
    </row>
    <row r="16" spans="1:54" x14ac:dyDescent="0.25">
      <c r="A16" s="1" t="s">
        <v>66</v>
      </c>
      <c r="B16">
        <v>0.51370000000000005</v>
      </c>
      <c r="C16">
        <v>0.47860000000000003</v>
      </c>
      <c r="D16">
        <v>0.19850000000000001</v>
      </c>
      <c r="E16">
        <v>0.47149999999999997</v>
      </c>
      <c r="F16">
        <v>0</v>
      </c>
      <c r="G16">
        <v>0.90059999999999996</v>
      </c>
      <c r="H16">
        <v>0.33079999999999998</v>
      </c>
      <c r="I16">
        <v>0.4587</v>
      </c>
      <c r="J16">
        <v>0.56330000000000002</v>
      </c>
      <c r="M16">
        <v>0.60780000000000001</v>
      </c>
      <c r="N16">
        <v>0.4168</v>
      </c>
      <c r="O16">
        <v>0.47389999999999999</v>
      </c>
      <c r="P16">
        <v>0.49149999999999999</v>
      </c>
      <c r="Q16">
        <v>0.47460000000000002</v>
      </c>
      <c r="R16">
        <v>0.51319999999999999</v>
      </c>
      <c r="S16">
        <v>0.49309999999999998</v>
      </c>
      <c r="T16">
        <v>0.43080000000000002</v>
      </c>
      <c r="U16">
        <v>0.49109999999999998</v>
      </c>
      <c r="V16">
        <v>0.47239999999999999</v>
      </c>
      <c r="W16">
        <v>0.20230000000000001</v>
      </c>
      <c r="X16">
        <v>0.1986</v>
      </c>
      <c r="Y16">
        <v>0.20349999999999999</v>
      </c>
      <c r="Z16">
        <v>0.1913</v>
      </c>
      <c r="AA16">
        <v>0.19309999999999999</v>
      </c>
      <c r="AB16">
        <v>0.20349999999999999</v>
      </c>
      <c r="AC16">
        <v>0.1943</v>
      </c>
      <c r="AD16">
        <v>0.2006</v>
      </c>
      <c r="AE16">
        <v>0.502</v>
      </c>
      <c r="AF16">
        <v>0.4662</v>
      </c>
      <c r="AG16">
        <v>0.46899999999999997</v>
      </c>
      <c r="AH16">
        <v>0.47460000000000002</v>
      </c>
      <c r="AI16">
        <v>0.51939999999999997</v>
      </c>
      <c r="AJ16">
        <v>0.46189999999999998</v>
      </c>
      <c r="AK16">
        <v>0.53280000000000005</v>
      </c>
      <c r="AL16">
        <v>0.62960000000000005</v>
      </c>
      <c r="AM16">
        <v>0.47170000000000001</v>
      </c>
      <c r="AN16">
        <v>0.48499999999999999</v>
      </c>
      <c r="AO16">
        <v>0.41560000000000002</v>
      </c>
      <c r="AP16">
        <v>0.44330000000000003</v>
      </c>
      <c r="AQ16">
        <v>0.193</v>
      </c>
      <c r="AR16">
        <v>0.19700000000000001</v>
      </c>
      <c r="AS16">
        <v>0.20119999999999999</v>
      </c>
      <c r="AT16">
        <v>0.19620000000000001</v>
      </c>
      <c r="AU16">
        <v>0.19400000000000001</v>
      </c>
      <c r="AV16">
        <v>0.20480000000000001</v>
      </c>
      <c r="AW16">
        <v>0.182</v>
      </c>
      <c r="AX16">
        <v>0.17929999999999999</v>
      </c>
      <c r="AY16">
        <v>0.20069999999999999</v>
      </c>
      <c r="AZ16">
        <v>0.1976</v>
      </c>
      <c r="BA16">
        <v>0.21540000000000001</v>
      </c>
      <c r="BB16">
        <v>0.21190000000000001</v>
      </c>
    </row>
    <row r="17" spans="1:54" s="4" customFormat="1" ht="25.9" customHeight="1" x14ac:dyDescent="0.25">
      <c r="O17" s="4">
        <f t="shared" ref="O17:BB17" si="0">AVERAGE(O2:O16)</f>
        <v>0.5111</v>
      </c>
      <c r="P17" s="4">
        <f t="shared" si="0"/>
        <v>0.49250000000000005</v>
      </c>
      <c r="Q17" s="4">
        <f t="shared" si="0"/>
        <v>0.47283999999999993</v>
      </c>
      <c r="R17" s="4">
        <f t="shared" si="0"/>
        <v>0.54064666666666672</v>
      </c>
      <c r="S17" s="4">
        <f t="shared" si="0"/>
        <v>0.51543333333333341</v>
      </c>
      <c r="T17" s="4">
        <f t="shared" si="0"/>
        <v>0.42315333333333338</v>
      </c>
      <c r="U17" s="4">
        <f t="shared" si="0"/>
        <v>0.49482666666666664</v>
      </c>
      <c r="V17" s="4">
        <f t="shared" si="0"/>
        <v>0.48997333333333337</v>
      </c>
      <c r="W17" s="4">
        <f t="shared" si="0"/>
        <v>0.19052000000000005</v>
      </c>
      <c r="X17" s="4">
        <f t="shared" si="0"/>
        <v>0.19781333333333331</v>
      </c>
      <c r="Y17" s="4">
        <f t="shared" si="0"/>
        <v>0.20586000000000004</v>
      </c>
      <c r="Z17" s="4">
        <f t="shared" si="0"/>
        <v>0.18524666666666664</v>
      </c>
      <c r="AA17" s="4">
        <f t="shared" si="0"/>
        <v>0.18721333333333334</v>
      </c>
      <c r="AB17" s="4">
        <f t="shared" si="0"/>
        <v>0.20401999999999998</v>
      </c>
      <c r="AC17" s="4">
        <f t="shared" si="0"/>
        <v>0.19186666666666671</v>
      </c>
      <c r="AD17" s="4">
        <f t="shared" si="0"/>
        <v>0.19646000000000002</v>
      </c>
      <c r="AE17" s="4">
        <f t="shared" si="0"/>
        <v>0.50324000000000002</v>
      </c>
      <c r="AF17" s="4">
        <f t="shared" si="0"/>
        <v>0.4975</v>
      </c>
      <c r="AG17" s="4">
        <f t="shared" si="0"/>
        <v>0.48397333333333331</v>
      </c>
      <c r="AH17" s="4">
        <f t="shared" si="0"/>
        <v>0.4926266666666666</v>
      </c>
      <c r="AI17" s="4">
        <f t="shared" si="0"/>
        <v>0.52842</v>
      </c>
      <c r="AJ17" s="4">
        <f t="shared" si="0"/>
        <v>0.49641999999999997</v>
      </c>
      <c r="AK17" s="4">
        <f t="shared" si="0"/>
        <v>0.54271999999999998</v>
      </c>
      <c r="AL17" s="4">
        <f t="shared" si="0"/>
        <v>0.41619999999999996</v>
      </c>
      <c r="AM17" s="4">
        <f t="shared" si="0"/>
        <v>0.51556923076923078</v>
      </c>
      <c r="AN17" s="4">
        <f t="shared" si="0"/>
        <v>0.48932666666666674</v>
      </c>
      <c r="AO17" s="4">
        <f t="shared" si="0"/>
        <v>0.40876666666666672</v>
      </c>
      <c r="AP17" s="4">
        <f t="shared" si="0"/>
        <v>0.46891999999999995</v>
      </c>
      <c r="AQ17" s="4">
        <f t="shared" si="0"/>
        <v>0.19034666666666666</v>
      </c>
      <c r="AR17" s="4">
        <f t="shared" si="0"/>
        <v>0.1914733333333333</v>
      </c>
      <c r="AS17" s="4">
        <f t="shared" si="0"/>
        <v>0.19878666666666669</v>
      </c>
      <c r="AT17" s="4">
        <f t="shared" si="0"/>
        <v>0.19253333333333336</v>
      </c>
      <c r="AU17" s="4">
        <f t="shared" si="0"/>
        <v>0.18861999999999995</v>
      </c>
      <c r="AV17" s="4">
        <f t="shared" si="0"/>
        <v>0.19874666666666668</v>
      </c>
      <c r="AW17" s="4">
        <f t="shared" si="0"/>
        <v>0.17807333333333333</v>
      </c>
      <c r="AX17" s="4">
        <f t="shared" si="0"/>
        <v>0.22463749999999999</v>
      </c>
      <c r="AY17" s="4">
        <f t="shared" si="0"/>
        <v>0.16193076923076924</v>
      </c>
      <c r="AZ17" s="4">
        <f t="shared" si="0"/>
        <v>0.19094666666666668</v>
      </c>
      <c r="BA17" s="4">
        <f t="shared" si="0"/>
        <v>0.21898000000000001</v>
      </c>
      <c r="BB17" s="4">
        <f t="shared" si="0"/>
        <v>0.20754666666666668</v>
      </c>
    </row>
    <row r="18" spans="1:54" x14ac:dyDescent="0.25">
      <c r="A18" s="7" t="s">
        <v>70</v>
      </c>
      <c r="C18">
        <v>0.55820000000000003</v>
      </c>
      <c r="D18">
        <v>0.1956</v>
      </c>
    </row>
    <row r="19" spans="1:54" x14ac:dyDescent="0.25">
      <c r="A19" s="7" t="s">
        <v>69</v>
      </c>
      <c r="C19">
        <v>0.52429999999999999</v>
      </c>
      <c r="D19">
        <v>0.20630000000000001</v>
      </c>
    </row>
    <row r="21" spans="1:54" x14ac:dyDescent="0.25">
      <c r="A21" s="8" t="s">
        <v>71</v>
      </c>
    </row>
    <row r="23" spans="1:54" x14ac:dyDescent="0.25">
      <c r="A23" s="4" t="s">
        <v>94</v>
      </c>
    </row>
    <row r="24" spans="1:54" x14ac:dyDescent="0.25">
      <c r="A24" s="9" t="s">
        <v>73</v>
      </c>
    </row>
    <row r="25" spans="1:54" x14ac:dyDescent="0.25">
      <c r="A25" t="s">
        <v>72</v>
      </c>
    </row>
    <row r="26" spans="1:54" x14ac:dyDescent="0.25">
      <c r="A26" t="s">
        <v>74</v>
      </c>
    </row>
    <row r="27" spans="1:54" x14ac:dyDescent="0.25">
      <c r="A27" s="9" t="s">
        <v>93</v>
      </c>
    </row>
    <row r="28" spans="1:54" x14ac:dyDescent="0.25">
      <c r="A28" t="s">
        <v>76</v>
      </c>
    </row>
    <row r="29" spans="1:54" x14ac:dyDescent="0.25">
      <c r="A29" t="s">
        <v>75</v>
      </c>
    </row>
    <row r="30" spans="1:54" x14ac:dyDescent="0.25">
      <c r="A30" t="s">
        <v>77</v>
      </c>
    </row>
    <row r="31" spans="1:54" x14ac:dyDescent="0.25">
      <c r="A31" t="s">
        <v>78</v>
      </c>
    </row>
    <row r="32" spans="1:54" x14ac:dyDescent="0.25">
      <c r="A32" t="s">
        <v>79</v>
      </c>
    </row>
    <row r="33" spans="1:1" x14ac:dyDescent="0.25">
      <c r="A33" t="s">
        <v>83</v>
      </c>
    </row>
    <row r="35" spans="1:1" x14ac:dyDescent="0.25">
      <c r="A35" s="9" t="s">
        <v>80</v>
      </c>
    </row>
    <row r="36" spans="1:1" x14ac:dyDescent="0.25">
      <c r="A36" t="s">
        <v>81</v>
      </c>
    </row>
    <row r="37" spans="1:1" x14ac:dyDescent="0.25">
      <c r="A37" t="s">
        <v>82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s="9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s="9" t="s">
        <v>89</v>
      </c>
    </row>
    <row r="44" spans="1:1" x14ac:dyDescent="0.25">
      <c r="A44" t="s">
        <v>90</v>
      </c>
    </row>
    <row r="45" spans="1:1" x14ac:dyDescent="0.25">
      <c r="A45" t="s">
        <v>91</v>
      </c>
    </row>
    <row r="46" spans="1:1" x14ac:dyDescent="0.25">
      <c r="A46" t="s">
        <v>92</v>
      </c>
    </row>
  </sheetData>
  <autoFilter ref="A1:BB17" xr:uid="{00000000-0001-0000-0000-000000000000}">
    <sortState xmlns:xlrd2="http://schemas.microsoft.com/office/spreadsheetml/2017/richdata2" ref="A2:BB17">
      <sortCondition ref="D1:D17"/>
    </sortState>
  </autoFilter>
  <sortState xmlns:xlrd2="http://schemas.microsoft.com/office/spreadsheetml/2017/richdata2" ref="A2:BB17">
    <sortCondition ref="D3:D17"/>
  </sortState>
  <conditionalFormatting sqref="B2:B12 B16 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2 B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6 C18:C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6 D18:D1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T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T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V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AB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:AB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P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2024-05-31T17:54:34Z</dcterms:created>
  <dcterms:modified xsi:type="dcterms:W3CDTF">2024-07-21T19:39:04Z</dcterms:modified>
</cp:coreProperties>
</file>